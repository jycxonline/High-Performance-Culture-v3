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epartment Lookup" sheetId="2" state="visible" r:id="rId2"/>
    <sheet xmlns:r="http://schemas.openxmlformats.org/officeDocument/2006/relationships" name="Audit Log" sheetId="3" state="visible" r:id="rId3"/>
    <sheet xmlns:r="http://schemas.openxmlformats.org/officeDocument/2006/relationships" name="_SCHEMA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1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PACE — Department Lookup</t>
        </is>
      </c>
    </row>
    <row r="2">
      <c r="A2" t="inlineStr">
        <is>
          <t>Drives the PACE journey. Runner activates (In Training) at 70% completion.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6" customWidth="1" min="2" max="2"/>
    <col width="8" customWidth="1" min="3" max="3"/>
    <col width="14" customWidth="1" min="4" max="4"/>
    <col width="12" customWidth="1" min="5" max="5"/>
    <col width="12" customWidth="1" min="6" max="6"/>
    <col width="16" customWidth="1" min="7" max="7"/>
    <col width="14" customWidth="1" min="8" max="8"/>
    <col width="16" customWidth="1" min="9" max="9"/>
    <col width="20" customWidth="1" min="10" max="10"/>
    <col width="14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4" customWidth="1" min="17" max="17"/>
    <col width="42" customWidth="1" min="18" max="18"/>
  </cols>
  <sheetData>
    <row r="1">
      <c r="A1" s="2" t="inlineStr">
        <is>
          <t>Department ID</t>
        </is>
      </c>
      <c r="B1" s="2" t="inlineStr">
        <is>
          <t>Department Name</t>
        </is>
      </c>
      <c r="C1" s="2" t="inlineStr">
        <is>
          <t>Department Code</t>
        </is>
      </c>
      <c r="D1" s="2" t="inlineStr">
        <is>
          <t>Expected Respondents</t>
        </is>
      </c>
      <c r="E1" s="2" t="inlineStr">
        <is>
          <t>Actual Responses</t>
        </is>
      </c>
      <c r="F1" s="2" t="inlineStr">
        <is>
          <t>Completion %</t>
        </is>
      </c>
      <c r="G1" s="2" t="inlineStr">
        <is>
          <t>Runner Type</t>
        </is>
      </c>
      <c r="H1" s="2" t="inlineStr">
        <is>
          <t>Runner Colour</t>
        </is>
      </c>
      <c r="I1" s="2" t="inlineStr">
        <is>
          <t>Runner Status</t>
        </is>
      </c>
      <c r="J1" s="2" t="inlineStr">
        <is>
          <t>Current Stage</t>
        </is>
      </c>
      <c r="K1" s="2" t="inlineStr">
        <is>
          <t>Report Reviewed</t>
        </is>
      </c>
      <c r="L1" s="2" t="inlineStr">
        <is>
          <t>Action Plan Submitted</t>
        </is>
      </c>
      <c r="M1" s="2" t="inlineStr">
        <is>
          <t>Checkpoint 1 Completed</t>
        </is>
      </c>
      <c r="N1" s="2" t="inlineStr">
        <is>
          <t>Checkpoint 2 Completed</t>
        </is>
      </c>
      <c r="O1" s="2" t="inlineStr">
        <is>
          <t>Checkpoint 3 Completed</t>
        </is>
      </c>
      <c r="P1" s="2" t="inlineStr">
        <is>
          <t>Finish Line Reached</t>
        </is>
      </c>
      <c r="Q1" s="2" t="inlineStr">
        <is>
          <t>Last Updated Date</t>
        </is>
      </c>
      <c r="R1" s="2" t="inlineStr">
        <is>
          <t>Admin Notes</t>
        </is>
      </c>
    </row>
    <row r="2">
      <c r="A2" s="3" t="inlineStr">
        <is>
          <t>D01</t>
        </is>
      </c>
      <c r="B2" s="3" t="inlineStr">
        <is>
          <t>Customer Experience</t>
        </is>
      </c>
      <c r="C2" s="3" t="inlineStr">
        <is>
          <t>CX</t>
        </is>
      </c>
      <c r="D2" s="3" t="n">
        <v>120</v>
      </c>
      <c r="E2" s="3" t="n">
        <v>92</v>
      </c>
      <c r="F2" s="4">
        <f>IF(D2=0,0,E2/D2)</f>
        <v/>
      </c>
      <c r="G2" s="3" t="inlineStr">
        <is>
          <t>Sprinter</t>
        </is>
      </c>
      <c r="H2" s="3" t="inlineStr">
        <is>
          <t>Navy</t>
        </is>
      </c>
      <c r="I2" s="3">
        <f>IF(D2=0,"Not set",IF(F2&gt;=0.7,"In Training",IF(F2&gt;=0.3,"Warming up","Not started")))</f>
        <v/>
      </c>
      <c r="J2" s="3" t="inlineStr">
        <is>
          <t>Training</t>
        </is>
      </c>
      <c r="K2" s="3" t="inlineStr">
        <is>
          <t>Yes</t>
        </is>
      </c>
      <c r="L2" s="3" t="inlineStr">
        <is>
          <t>No</t>
        </is>
      </c>
      <c r="M2" s="3" t="inlineStr">
        <is>
          <t>No</t>
        </is>
      </c>
      <c r="N2" s="3" t="inlineStr">
        <is>
          <t>No</t>
        </is>
      </c>
      <c r="O2" s="3" t="inlineStr">
        <is>
          <t>No</t>
        </is>
      </c>
      <c r="P2" s="3" t="inlineStr">
        <is>
          <t>No</t>
        </is>
      </c>
      <c r="Q2" s="3" t="inlineStr">
        <is>
          <t>2026-08-03</t>
        </is>
      </c>
      <c r="R2" s="3" t="inlineStr">
        <is>
          <t>Front-line momentum.</t>
        </is>
      </c>
    </row>
    <row r="3">
      <c r="A3" s="3" t="inlineStr">
        <is>
          <t>D02</t>
        </is>
      </c>
      <c r="B3" s="3" t="inlineStr">
        <is>
          <t>Commercial</t>
        </is>
      </c>
      <c r="C3" s="3" t="inlineStr">
        <is>
          <t>COM</t>
        </is>
      </c>
      <c r="D3" s="3" t="n">
        <v>85</v>
      </c>
      <c r="E3" s="3" t="n">
        <v>61</v>
      </c>
      <c r="F3" s="4">
        <f>IF(D3=0,0,E3/D3)</f>
        <v/>
      </c>
      <c r="G3" s="3" t="inlineStr">
        <is>
          <t>Middle-Dist.</t>
        </is>
      </c>
      <c r="H3" s="3" t="inlineStr">
        <is>
          <t>Sky Blue</t>
        </is>
      </c>
      <c r="I3" s="3">
        <f>IF(D3=0,"Not set",IF(F3&gt;=0.7,"In Training",IF(F3&gt;=0.3,"Warming up","Not started")))</f>
        <v/>
      </c>
      <c r="J3" s="3" t="inlineStr">
        <is>
          <t>Training</t>
        </is>
      </c>
      <c r="K3" s="3" t="inlineStr">
        <is>
          <t>Yes</t>
        </is>
      </c>
      <c r="L3" s="3" t="inlineStr">
        <is>
          <t>No</t>
        </is>
      </c>
      <c r="M3" s="3" t="inlineStr">
        <is>
          <t>No</t>
        </is>
      </c>
      <c r="N3" s="3" t="inlineStr">
        <is>
          <t>No</t>
        </is>
      </c>
      <c r="O3" s="3" t="inlineStr">
        <is>
          <t>No</t>
        </is>
      </c>
      <c r="P3" s="3" t="inlineStr">
        <is>
          <t>No</t>
        </is>
      </c>
      <c r="Q3" s="3" t="inlineStr">
        <is>
          <t>2026-08-03</t>
        </is>
      </c>
      <c r="R3" s="3" t="inlineStr">
        <is>
          <t>Steady pace.</t>
        </is>
      </c>
    </row>
    <row r="4">
      <c r="A4" s="3" t="inlineStr">
        <is>
          <t>D03</t>
        </is>
      </c>
      <c r="B4" s="3" t="inlineStr">
        <is>
          <t>Operations</t>
        </is>
      </c>
      <c r="C4" s="3" t="inlineStr">
        <is>
          <t>OPS</t>
        </is>
      </c>
      <c r="D4" s="3" t="n">
        <v>250</v>
      </c>
      <c r="E4" s="3" t="n">
        <v>210</v>
      </c>
      <c r="F4" s="4">
        <f>IF(D4=0,0,E4/D4)</f>
        <v/>
      </c>
      <c r="G4" s="3" t="inlineStr">
        <is>
          <t>Marathoner</t>
        </is>
      </c>
      <c r="H4" s="3" t="inlineStr">
        <is>
          <t>Emerald</t>
        </is>
      </c>
      <c r="I4" s="3">
        <f>IF(D4=0,"Not set",IF(F4&gt;=0.7,"In Training",IF(F4&gt;=0.3,"Warming up","Not started")))</f>
        <v/>
      </c>
      <c r="J4" s="3" t="inlineStr">
        <is>
          <t>Reflect</t>
        </is>
      </c>
      <c r="K4" s="3" t="inlineStr">
        <is>
          <t>Yes</t>
        </is>
      </c>
      <c r="L4" s="3" t="inlineStr">
        <is>
          <t>No</t>
        </is>
      </c>
      <c r="M4" s="3" t="inlineStr">
        <is>
          <t>No</t>
        </is>
      </c>
      <c r="N4" s="3" t="inlineStr">
        <is>
          <t>No</t>
        </is>
      </c>
      <c r="O4" s="3" t="inlineStr">
        <is>
          <t>No</t>
        </is>
      </c>
      <c r="P4" s="3" t="inlineStr">
        <is>
          <t>No</t>
        </is>
      </c>
      <c r="Q4" s="3" t="inlineStr">
        <is>
          <t>2026-08-03</t>
        </is>
      </c>
      <c r="R4" s="3" t="inlineStr">
        <is>
          <t>Report reviewed.</t>
        </is>
      </c>
    </row>
    <row r="5">
      <c r="A5" s="3" t="inlineStr">
        <is>
          <t>D04</t>
        </is>
      </c>
      <c r="B5" s="3" t="inlineStr">
        <is>
          <t>Information Technology</t>
        </is>
      </c>
      <c r="C5" s="3" t="inlineStr">
        <is>
          <t>IT</t>
        </is>
      </c>
      <c r="D5" s="3" t="n">
        <v>110</v>
      </c>
      <c r="E5" s="3" t="n">
        <v>44</v>
      </c>
      <c r="F5" s="4">
        <f>IF(D5=0,0,E5/D5)</f>
        <v/>
      </c>
      <c r="G5" s="3" t="inlineStr">
        <is>
          <t>Relay Runner</t>
        </is>
      </c>
      <c r="H5" s="3" t="inlineStr">
        <is>
          <t>Charcoal</t>
        </is>
      </c>
      <c r="I5" s="3">
        <f>IF(D5=0,"Not set",IF(F5&gt;=0.7,"In Training",IF(F5&gt;=0.3,"Warming up","Not started")))</f>
        <v/>
      </c>
      <c r="J5" s="3" t="inlineStr">
        <is>
          <t>Warm-up Exercise</t>
        </is>
      </c>
      <c r="K5" s="3" t="inlineStr">
        <is>
          <t>No</t>
        </is>
      </c>
      <c r="L5" s="3" t="inlineStr">
        <is>
          <t>No</t>
        </is>
      </c>
      <c r="M5" s="3" t="inlineStr">
        <is>
          <t>No</t>
        </is>
      </c>
      <c r="N5" s="3" t="inlineStr">
        <is>
          <t>No</t>
        </is>
      </c>
      <c r="O5" s="3" t="inlineStr">
        <is>
          <t>No</t>
        </is>
      </c>
      <c r="P5" s="3" t="inlineStr">
        <is>
          <t>No</t>
        </is>
      </c>
      <c r="Q5" s="3" t="inlineStr">
        <is>
          <t>2026-08-03</t>
        </is>
      </c>
      <c r="R5" s="3" t="inlineStr">
        <is>
          <t>Below 70% — still warming up.</t>
        </is>
      </c>
    </row>
    <row r="6">
      <c r="A6" s="3" t="inlineStr">
        <is>
          <t>D05</t>
        </is>
      </c>
      <c r="B6" s="3" t="inlineStr">
        <is>
          <t>People &amp; Culture</t>
        </is>
      </c>
      <c r="C6" s="3" t="inlineStr">
        <is>
          <t>PC</t>
        </is>
      </c>
      <c r="D6" s="3" t="n">
        <v>60</v>
      </c>
      <c r="E6" s="3" t="n">
        <v>55</v>
      </c>
      <c r="F6" s="4">
        <f>IF(D6=0,0,E6/D6)</f>
        <v/>
      </c>
      <c r="G6" s="3" t="inlineStr">
        <is>
          <t>Sprinter</t>
        </is>
      </c>
      <c r="H6" s="3" t="inlineStr">
        <is>
          <t>Coral</t>
        </is>
      </c>
      <c r="I6" s="3">
        <f>IF(D6=0,"Not set",IF(F6&gt;=0.7,"In Training",IF(F6&gt;=0.3,"Warming up","Not started")))</f>
        <v/>
      </c>
      <c r="J6" s="3" t="inlineStr">
        <is>
          <t>Reflect Again</t>
        </is>
      </c>
      <c r="K6" s="3" t="inlineStr">
        <is>
          <t>Yes</t>
        </is>
      </c>
      <c r="L6" s="3" t="inlineStr">
        <is>
          <t>Yes</t>
        </is>
      </c>
      <c r="M6" s="3" t="inlineStr">
        <is>
          <t>Yes</t>
        </is>
      </c>
      <c r="N6" s="3" t="inlineStr">
        <is>
          <t>No</t>
        </is>
      </c>
      <c r="O6" s="3" t="inlineStr">
        <is>
          <t>No</t>
        </is>
      </c>
      <c r="P6" s="3" t="inlineStr">
        <is>
          <t>No</t>
        </is>
      </c>
      <c r="Q6" s="3" t="inlineStr">
        <is>
          <t>2026-08-03</t>
        </is>
      </c>
      <c r="R6" s="3" t="inlineStr">
        <is>
          <t>Implementing change — mid-journey.</t>
        </is>
      </c>
    </row>
    <row r="7">
      <c r="A7" s="3" t="inlineStr">
        <is>
          <t>D06</t>
        </is>
      </c>
      <c r="B7" s="3" t="inlineStr">
        <is>
          <t>Finance</t>
        </is>
      </c>
      <c r="C7" s="3" t="inlineStr">
        <is>
          <t>FIN</t>
        </is>
      </c>
      <c r="D7" s="3" t="n">
        <v>75</v>
      </c>
      <c r="E7" s="3" t="n">
        <v>40</v>
      </c>
      <c r="F7" s="4">
        <f>IF(D7=0,0,E7/D7)</f>
        <v/>
      </c>
      <c r="G7" s="3" t="inlineStr">
        <is>
          <t>Middle-Dist.</t>
        </is>
      </c>
      <c r="H7" s="3" t="inlineStr">
        <is>
          <t>Silver</t>
        </is>
      </c>
      <c r="I7" s="3">
        <f>IF(D7=0,"Not set",IF(F7&gt;=0.7,"In Training",IF(F7&gt;=0.3,"Warming up","Not started")))</f>
        <v/>
      </c>
      <c r="J7" s="3" t="inlineStr">
        <is>
          <t>Warm-up Exercise</t>
        </is>
      </c>
      <c r="K7" s="3" t="inlineStr">
        <is>
          <t>No</t>
        </is>
      </c>
      <c r="L7" s="3" t="inlineStr">
        <is>
          <t>No</t>
        </is>
      </c>
      <c r="M7" s="3" t="inlineStr">
        <is>
          <t>No</t>
        </is>
      </c>
      <c r="N7" s="3" t="inlineStr">
        <is>
          <t>No</t>
        </is>
      </c>
      <c r="O7" s="3" t="inlineStr">
        <is>
          <t>No</t>
        </is>
      </c>
      <c r="P7" s="3" t="inlineStr">
        <is>
          <t>No</t>
        </is>
      </c>
      <c r="Q7" s="3" t="inlineStr">
        <is>
          <t>2026-08-03</t>
        </is>
      </c>
      <c r="R7" s="3" t="inlineStr">
        <is>
          <t>Below 70%.</t>
        </is>
      </c>
    </row>
    <row r="8">
      <c r="A8" s="3" t="inlineStr">
        <is>
          <t>D07</t>
        </is>
      </c>
      <c r="B8" s="3" t="inlineStr">
        <is>
          <t>Cargo</t>
        </is>
      </c>
      <c r="C8" s="3" t="inlineStr">
        <is>
          <t>CGO</t>
        </is>
      </c>
      <c r="D8" s="3" t="n">
        <v>95</v>
      </c>
      <c r="E8" s="3" t="n">
        <v>68</v>
      </c>
      <c r="F8" s="4">
        <f>IF(D8=0,0,E8/D8)</f>
        <v/>
      </c>
      <c r="G8" s="3" t="inlineStr">
        <is>
          <t>Marathoner</t>
        </is>
      </c>
      <c r="H8" s="3" t="inlineStr">
        <is>
          <t>Gold</t>
        </is>
      </c>
      <c r="I8" s="3">
        <f>IF(D8=0,"Not set",IF(F8&gt;=0.7,"In Training",IF(F8&gt;=0.3,"Warming up","Not started")))</f>
        <v/>
      </c>
      <c r="J8" s="3" t="inlineStr">
        <is>
          <t>Reflect</t>
        </is>
      </c>
      <c r="K8" s="3" t="inlineStr">
        <is>
          <t>Yes</t>
        </is>
      </c>
      <c r="L8" s="3" t="inlineStr">
        <is>
          <t>No</t>
        </is>
      </c>
      <c r="M8" s="3" t="inlineStr">
        <is>
          <t>No</t>
        </is>
      </c>
      <c r="N8" s="3" t="inlineStr">
        <is>
          <t>No</t>
        </is>
      </c>
      <c r="O8" s="3" t="inlineStr">
        <is>
          <t>No</t>
        </is>
      </c>
      <c r="P8" s="3" t="inlineStr">
        <is>
          <t>No</t>
        </is>
      </c>
      <c r="Q8" s="3" t="inlineStr">
        <is>
          <t>2026-08-03</t>
        </is>
      </c>
      <c r="R8" s="3" t="inlineStr">
        <is>
          <t>Report reviewed.</t>
        </is>
      </c>
    </row>
    <row r="9">
      <c r="A9" s="3" t="inlineStr">
        <is>
          <t>D08</t>
        </is>
      </c>
      <c r="B9" s="3" t="inlineStr">
        <is>
          <t>Cathay Academy</t>
        </is>
      </c>
      <c r="C9" s="3" t="inlineStr">
        <is>
          <t>CA</t>
        </is>
      </c>
      <c r="D9" s="3" t="n">
        <v>45</v>
      </c>
      <c r="E9" s="3" t="n">
        <v>42</v>
      </c>
      <c r="F9" s="4">
        <f>IF(D9=0,0,E9/D9)</f>
        <v/>
      </c>
      <c r="G9" s="3" t="inlineStr">
        <is>
          <t>Sprinter</t>
        </is>
      </c>
      <c r="H9" s="3" t="inlineStr">
        <is>
          <t>Teal</t>
        </is>
      </c>
      <c r="I9" s="3">
        <f>IF(D9=0,"Not set",IF(F9&gt;=0.7,"In Training",IF(F9&gt;=0.3,"Warming up","Not started")))</f>
        <v/>
      </c>
      <c r="J9" s="3" t="inlineStr">
        <is>
          <t>Finish Line</t>
        </is>
      </c>
      <c r="K9" s="3" t="inlineStr">
        <is>
          <t>Yes</t>
        </is>
      </c>
      <c r="L9" s="3" t="inlineStr">
        <is>
          <t>Yes</t>
        </is>
      </c>
      <c r="M9" s="3" t="inlineStr">
        <is>
          <t>Yes</t>
        </is>
      </c>
      <c r="N9" s="3" t="inlineStr">
        <is>
          <t>Yes</t>
        </is>
      </c>
      <c r="O9" s="3" t="inlineStr">
        <is>
          <t>Yes</t>
        </is>
      </c>
      <c r="P9" s="3" t="inlineStr">
        <is>
          <t>Yes</t>
        </is>
      </c>
      <c r="Q9" s="3" t="inlineStr">
        <is>
          <t>2026-08-03</t>
        </is>
      </c>
      <c r="R9" s="3" t="inlineStr">
        <is>
          <t>PACE Setter — finished the journey.</t>
        </is>
      </c>
    </row>
  </sheetData>
  <dataValidations count="8">
    <dataValidation sqref="J2:J9" showDropDown="0" showInputMessage="0" showErrorMessage="0" allowBlank="1" type="list">
      <formula1>"Not Started,Warm-up Exercise,Training,Reflect,Implement Change,Reflect Again,Training - Tempo,Race up your PACE,Finish Line"</formula1>
    </dataValidation>
    <dataValidation sqref="G2:G9" showDropDown="0" showInputMessage="0" showErrorMessage="0" allowBlank="1" type="list">
      <formula1>"Sprinter,Middle-Dist.,Marathoner,Relay Runner"</formula1>
    </dataValidation>
    <dataValidation sqref="K2:K9" showDropDown="0" showInputMessage="0" showErrorMessage="0" allowBlank="1" type="list">
      <formula1>"Yes,No"</formula1>
    </dataValidation>
    <dataValidation sqref="L2:L9" showDropDown="0" showInputMessage="0" showErrorMessage="0" allowBlank="1" type="list">
      <formula1>"Yes,No"</formula1>
    </dataValidation>
    <dataValidation sqref="M2:M9" showDropDown="0" showInputMessage="0" showErrorMessage="0" allowBlank="1" type="list">
      <formula1>"Yes,No"</formula1>
    </dataValidation>
    <dataValidation sqref="N2:N9" showDropDown="0" showInputMessage="0" showErrorMessage="0" allowBlank="1" type="list">
      <formula1>"Yes,No"</formula1>
    </dataValidation>
    <dataValidation sqref="O2:O9" showDropDown="0" showInputMessage="0" showErrorMessage="0" allowBlank="1" type="list">
      <formula1>"Yes,No"</formula1>
    </dataValidation>
    <dataValidation sqref="P2:P9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26" customWidth="1" min="3" max="3"/>
    <col width="24" customWidth="1" min="4" max="4"/>
    <col width="60" customWidth="1" min="5" max="5"/>
  </cols>
  <sheetData>
    <row r="1">
      <c r="A1" s="2" t="inlineStr">
        <is>
          <t>Timestamp</t>
        </is>
      </c>
      <c r="B1" s="2" t="inlineStr">
        <is>
          <t>Admin User</t>
        </is>
      </c>
      <c r="C1" s="2" t="inlineStr">
        <is>
          <t>Action</t>
        </is>
      </c>
      <c r="D1" s="2" t="inlineStr">
        <is>
          <t>Department</t>
        </is>
      </c>
      <c r="E1" s="2" t="inlineStr">
        <is>
          <t>Details</t>
        </is>
      </c>
    </row>
    <row r="2">
      <c r="A2" s="3" t="inlineStr">
        <is>
          <t>2026-08-03</t>
        </is>
      </c>
      <c r="B2" s="3" t="inlineStr">
        <is>
          <t>Cathay Academy</t>
        </is>
      </c>
      <c r="C2" s="3" t="inlineStr">
        <is>
          <t>Initial</t>
        </is>
      </c>
      <c r="D2" s="3" t="inlineStr">
        <is>
          <t>All</t>
        </is>
      </c>
      <c r="E2" s="3" t="inlineStr">
        <is>
          <t>8 depts loaded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B2"/>
  <sheetViews>
    <sheetView workbookViewId="0">
      <selection activeCell="A1" sqref="A1"/>
    </sheetView>
  </sheetViews>
  <sheetFormatPr baseColWidth="8" defaultRowHeight="15"/>
  <sheetData>
    <row r="2">
      <c r="A2" t="inlineStr">
        <is>
          <t>schema_name</t>
        </is>
      </c>
      <c r="B2" t="inlineStr">
        <is>
          <t>PACE-DEPTLOOKUP-v1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2026-08-03T08:34:02Z</dcterms:created>
  <dcterms:modified xmlns:dcterms="http://purl.org/dc/terms/" xmlns:xsi="http://www.w3.org/2001/XMLSchema-instance" xsi:type="dcterms:W3CDTF">2026-08-03T08:34:02Z</dcterms:modified>
</cp:coreProperties>
</file>