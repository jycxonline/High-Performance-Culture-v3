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Department Lookup" sheetId="2" state="visible" r:id="rId4"/>
    <sheet name="Audit Log" sheetId="3" state="visible" r:id="rId5"/>
    <sheet name="_SCHEMA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<sst xmlns="http://schemas.openxmlformats.org/spreadsheetml/2006/main" count="474" uniqueCount="157">
  <si>
    <t xml:space="preserve">PACE — Department Lookup</t>
  </si>
  <si>
    <t xml:space="preserve">Drives the PACE journey. Runner activates (In Training) at 70% completion.</t>
  </si>
  <si>
    <t xml:space="preserve">Department ID</t>
  </si>
  <si>
    <t xml:space="preserve">Department Name</t>
  </si>
  <si>
    <t xml:space="preserve">Department Code</t>
  </si>
  <si>
    <t xml:space="preserve">Expected Respondents</t>
  </si>
  <si>
    <t xml:space="preserve">Actual Responses</t>
  </si>
  <si>
    <t xml:space="preserve">Completion %</t>
  </si>
  <si>
    <t xml:space="preserve">Runner Type</t>
  </si>
  <si>
    <t xml:space="preserve">Runner Colour</t>
  </si>
  <si>
    <t xml:space="preserve">Runner Status</t>
  </si>
  <si>
    <t xml:space="preserve">Current Stage</t>
  </si>
  <si>
    <t xml:space="preserve">Report Reviewed</t>
  </si>
  <si>
    <t xml:space="preserve">Action Plan Submitted</t>
  </si>
  <si>
    <t xml:space="preserve">Checkpoint 1 Completed</t>
  </si>
  <si>
    <t xml:space="preserve">Checkpoint 2 Completed</t>
  </si>
  <si>
    <t xml:space="preserve">Checkpoint 3 Completed</t>
  </si>
  <si>
    <t xml:space="preserve">Finish Line Reached</t>
  </si>
  <si>
    <t xml:space="preserve">Last Updated Date</t>
  </si>
  <si>
    <t xml:space="preserve">Admin Notes</t>
  </si>
  <si>
    <t xml:space="preserve">D01</t>
  </si>
  <si>
    <t xml:space="preserve">APD - Airport Delivery</t>
  </si>
  <si>
    <t xml:space="preserve">APD</t>
  </si>
  <si>
    <t xml:space="preserve">Sprinter</t>
  </si>
  <si>
    <t xml:space="preserve">Navy</t>
  </si>
  <si>
    <t xml:space="preserve">Warm-up Exercise</t>
  </si>
  <si>
    <t xml:space="preserve">No</t>
  </si>
  <si>
    <t xml:space="preserve">2026-08-03</t>
  </si>
  <si>
    <t xml:space="preserve">D02</t>
  </si>
  <si>
    <t xml:space="preserve">ASD - Airport Service Delivery</t>
  </si>
  <si>
    <t xml:space="preserve">ASD</t>
  </si>
  <si>
    <t xml:space="preserve">Middle-Dist.</t>
  </si>
  <si>
    <t xml:space="preserve">Sky Blue</t>
  </si>
  <si>
    <t xml:space="preserve">Training</t>
  </si>
  <si>
    <t xml:space="preserve">D03</t>
  </si>
  <si>
    <t xml:space="preserve">BIM - Brand, Insights &amp; Marketing Communications</t>
  </si>
  <si>
    <t xml:space="preserve">BIM</t>
  </si>
  <si>
    <t xml:space="preserve">Marathoner</t>
  </si>
  <si>
    <t xml:space="preserve">Emerald</t>
  </si>
  <si>
    <t xml:space="preserve">Reflect</t>
  </si>
  <si>
    <t xml:space="preserve">Yes</t>
  </si>
  <si>
    <t xml:space="preserve">D04</t>
  </si>
  <si>
    <t xml:space="preserve">CAF - Corporate Affairs</t>
  </si>
  <si>
    <t xml:space="preserve">CAF</t>
  </si>
  <si>
    <t xml:space="preserve">Relay Runner</t>
  </si>
  <si>
    <t xml:space="preserve">Coral</t>
  </si>
  <si>
    <t xml:space="preserve">Implement Change</t>
  </si>
  <si>
    <t xml:space="preserve">D05</t>
  </si>
  <si>
    <t xml:space="preserve">CAY - Cathay Academy</t>
  </si>
  <si>
    <t xml:space="preserve">CAY</t>
  </si>
  <si>
    <t xml:space="preserve">Charcoal</t>
  </si>
  <si>
    <t xml:space="preserve">Finish Line</t>
  </si>
  <si>
    <t xml:space="preserve">D06</t>
  </si>
  <si>
    <t xml:space="preserve">CCD - Customer Care</t>
  </si>
  <si>
    <t xml:space="preserve">CCD</t>
  </si>
  <si>
    <t xml:space="preserve">Silver</t>
  </si>
  <si>
    <t xml:space="preserve">Training - Tempo</t>
  </si>
  <si>
    <t xml:space="preserve">D07</t>
  </si>
  <si>
    <t xml:space="preserve">CED - Customer Experience Design</t>
  </si>
  <si>
    <t xml:space="preserve">CED</t>
  </si>
  <si>
    <t xml:space="preserve">Gold</t>
  </si>
  <si>
    <t xml:space="preserve">D08</t>
  </si>
  <si>
    <t xml:space="preserve">CGO - Cargo</t>
  </si>
  <si>
    <t xml:space="preserve">CGO</t>
  </si>
  <si>
    <t xml:space="preserve">Teal</t>
  </si>
  <si>
    <t xml:space="preserve">D09</t>
  </si>
  <si>
    <t xml:space="preserve">CRR - Customer Relationship &amp; Retail</t>
  </si>
  <si>
    <t xml:space="preserve">CRR</t>
  </si>
  <si>
    <t xml:space="preserve">Crimson</t>
  </si>
  <si>
    <t xml:space="preserve">D10</t>
  </si>
  <si>
    <t xml:space="preserve">DEX - Digital Experience</t>
  </si>
  <si>
    <t xml:space="preserve">DEX</t>
  </si>
  <si>
    <t xml:space="preserve">Amber</t>
  </si>
  <si>
    <t xml:space="preserve">D11</t>
  </si>
  <si>
    <t xml:space="preserve">DGT - Digital</t>
  </si>
  <si>
    <t xml:space="preserve">DGT</t>
  </si>
  <si>
    <t xml:space="preserve">Reflect Again</t>
  </si>
  <si>
    <t xml:space="preserve">D12</t>
  </si>
  <si>
    <t xml:space="preserve">ENG - Engineering</t>
  </si>
  <si>
    <t xml:space="preserve">ENG</t>
  </si>
  <si>
    <t xml:space="preserve">D13</t>
  </si>
  <si>
    <t xml:space="preserve">FIN - Finance</t>
  </si>
  <si>
    <t xml:space="preserve">FIN</t>
  </si>
  <si>
    <t xml:space="preserve">D14</t>
  </si>
  <si>
    <t xml:space="preserve">FOP - Flight Operations</t>
  </si>
  <si>
    <t xml:space="preserve">FOP</t>
  </si>
  <si>
    <t xml:space="preserve">D15</t>
  </si>
  <si>
    <t xml:space="preserve">GBS - Global Business Service</t>
  </si>
  <si>
    <t xml:space="preserve">GBS</t>
  </si>
  <si>
    <t xml:space="preserve">D16</t>
  </si>
  <si>
    <t xml:space="preserve">GIA - Group Internal Audit</t>
  </si>
  <si>
    <t xml:space="preserve">GIA</t>
  </si>
  <si>
    <t xml:space="preserve">D17</t>
  </si>
  <si>
    <t xml:space="preserve">GLC - Group Legal &amp; Compliance</t>
  </si>
  <si>
    <t xml:space="preserve">GLC</t>
  </si>
  <si>
    <t xml:space="preserve">D18</t>
  </si>
  <si>
    <t xml:space="preserve">GMD - Group Medical</t>
  </si>
  <si>
    <t xml:space="preserve">GMD</t>
  </si>
  <si>
    <t xml:space="preserve">D19</t>
  </si>
  <si>
    <t xml:space="preserve">GOR - Group Opportunities and Risks</t>
  </si>
  <si>
    <t xml:space="preserve">GOR</t>
  </si>
  <si>
    <t xml:space="preserve">D20</t>
  </si>
  <si>
    <t xml:space="preserve">GSR - Group Safety and Operational Risk Management</t>
  </si>
  <si>
    <t xml:space="preserve">GSR</t>
  </si>
  <si>
    <t xml:space="preserve">D21</t>
  </si>
  <si>
    <t xml:space="preserve">GSD - Group Sustainability</t>
  </si>
  <si>
    <t xml:space="preserve">GSD</t>
  </si>
  <si>
    <t xml:space="preserve">D22</t>
  </si>
  <si>
    <t xml:space="preserve">IMT - Information Technology</t>
  </si>
  <si>
    <t xml:space="preserve">IMT</t>
  </si>
  <si>
    <t xml:space="preserve">D23</t>
  </si>
  <si>
    <t xml:space="preserve">IOC - Integrated Operations</t>
  </si>
  <si>
    <t xml:space="preserve">IOC</t>
  </si>
  <si>
    <t xml:space="preserve">D24</t>
  </si>
  <si>
    <t xml:space="preserve">ISD - Inflight Service Delivery</t>
  </si>
  <si>
    <t xml:space="preserve">ISD</t>
  </si>
  <si>
    <t xml:space="preserve">D25</t>
  </si>
  <si>
    <t xml:space="preserve">LDC - Logistics and Distribution Centre</t>
  </si>
  <si>
    <t xml:space="preserve">LDC</t>
  </si>
  <si>
    <t xml:space="preserve">D26</t>
  </si>
  <si>
    <t xml:space="preserve">PLN - Planning</t>
  </si>
  <si>
    <t xml:space="preserve">PLN</t>
  </si>
  <si>
    <t xml:space="preserve">D27</t>
  </si>
  <si>
    <t xml:space="preserve">PPL - People - Employee Experience</t>
  </si>
  <si>
    <t xml:space="preserve">PPL</t>
  </si>
  <si>
    <t xml:space="preserve">D28</t>
  </si>
  <si>
    <t xml:space="preserve">PSD - Property and Service</t>
  </si>
  <si>
    <t xml:space="preserve">PSD</t>
  </si>
  <si>
    <t xml:space="preserve">D29</t>
  </si>
  <si>
    <t xml:space="preserve">PVO - Procurement &amp; Aircraft Trading</t>
  </si>
  <si>
    <t xml:space="preserve">PVO</t>
  </si>
  <si>
    <t xml:space="preserve">D30</t>
  </si>
  <si>
    <t xml:space="preserve">REV - Revenue Management</t>
  </si>
  <si>
    <t xml:space="preserve">REV</t>
  </si>
  <si>
    <t xml:space="preserve">D31</t>
  </si>
  <si>
    <t xml:space="preserve">SND - Sales &amp; Distribution</t>
  </si>
  <si>
    <t xml:space="preserve">SND</t>
  </si>
  <si>
    <t xml:space="preserve">D32</t>
  </si>
  <si>
    <t xml:space="preserve">OPN - Operations</t>
  </si>
  <si>
    <t xml:space="preserve">OPN</t>
  </si>
  <si>
    <t xml:space="preserve">D33</t>
  </si>
  <si>
    <t xml:space="preserve">SUB - Subsidiaries</t>
  </si>
  <si>
    <t xml:space="preserve">SUB</t>
  </si>
  <si>
    <t xml:space="preserve">D34</t>
  </si>
  <si>
    <t xml:space="preserve">EXO - Executive Team</t>
  </si>
  <si>
    <t xml:space="preserve">EXO</t>
  </si>
  <si>
    <t xml:space="preserve">Timestamp</t>
  </si>
  <si>
    <t xml:space="preserve">Admin User</t>
  </si>
  <si>
    <t xml:space="preserve">Action</t>
  </si>
  <si>
    <t xml:space="preserve">Department</t>
  </si>
  <si>
    <t xml:space="preserve">Details</t>
  </si>
  <si>
    <t xml:space="preserve">Cathay Academy</t>
  </si>
  <si>
    <t xml:space="preserve">Initial</t>
  </si>
  <si>
    <t xml:space="preserve">All</t>
  </si>
  <si>
    <t xml:space="preserve">34 depts loaded</t>
  </si>
  <si>
    <t xml:space="preserve">schema_name</t>
  </si>
  <si>
    <t xml:space="preserve">PACE-DEPTLOOKUP-v1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</si>
</sst>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9" min="7" style="0" width="14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6" min="12" style="0" width="16"/>
    <col collapsed="false" customWidth="true" hidden="false" outlineLevel="0" max="17" min="17" style="0" width="14"/>
    <col collapsed="false" customWidth="true" hidden="false" outlineLevel="0" max="18" min="18" style="0" width="30"/>
  </cols>
  <sheetData>
    <row r="1" customFormat="false" ht="26.85" hidden="false" customHeight="false" outlineLevel="0" collapsed="false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</row>
    <row r="2" customFormat="false" ht="15" hidden="false" customHeight="false" outlineLevel="0" collapsed="false">
      <c r="A2" s="4" t="s">
        <v>20</v>
      </c>
      <c r="B2" s="4" t="s">
        <v>21</v>
      </c>
      <c r="C2" s="4" t="s">
        <v>22</v>
      </c>
      <c r="D2" s="4" t="n">
        <v>140</v>
      </c>
      <c r="E2" s="4" t="n">
        <v>83</v>
      </c>
      <c r="F2" s="5" t="n">
        <f aca="false">IF(D2=0,0,E2/D2)</f>
        <v>0.592857142857143</v>
      </c>
      <c r="G2" s="4" t="s">
        <v>23</v>
      </c>
      <c r="H2" s="4" t="s">
        <v>24</v>
      </c>
      <c r="I2" s="4" t="str">
        <f aca="false">IF(D2=0,"Not set",IF(F2&gt;=0.7,"In Training",IF(F2&gt;=0.3,"Warming up","Not started")))</f>
        <v>Warming up</v>
      </c>
      <c r="J2" s="4" t="s">
        <v>25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27</v>
      </c>
      <c r="R2" s="4"/>
    </row>
    <row r="3" customFormat="false" ht="15" hidden="false" customHeight="false" outlineLevel="0" collapsed="false">
      <c r="A3" s="4" t="s">
        <v>28</v>
      </c>
      <c r="B3" s="4" t="s">
        <v>29</v>
      </c>
      <c r="C3" s="4" t="s">
        <v>30</v>
      </c>
      <c r="D3" s="4" t="n">
        <v>180</v>
      </c>
      <c r="E3" s="4" t="n">
        <v>132</v>
      </c>
      <c r="F3" s="5" t="n">
        <f aca="false">IF(D3=0,0,E3/D3)</f>
        <v>0.733333333333333</v>
      </c>
      <c r="G3" s="4" t="s">
        <v>31</v>
      </c>
      <c r="H3" s="4" t="s">
        <v>32</v>
      </c>
      <c r="I3" s="4" t="str">
        <f aca="false">IF(D3=0,"Not set",IF(F3&gt;=0.7,"In Training",IF(F3&gt;=0.3,"Warming up","Not started")))</f>
        <v>In Training</v>
      </c>
      <c r="J3" s="4" t="s">
        <v>33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27</v>
      </c>
      <c r="R3" s="4"/>
    </row>
    <row r="4" customFormat="false" ht="26.85" hidden="false" customHeight="false" outlineLevel="0" collapsed="false">
      <c r="A4" s="4" t="s">
        <v>34</v>
      </c>
      <c r="B4" s="4" t="s">
        <v>35</v>
      </c>
      <c r="C4" s="4" t="s">
        <v>36</v>
      </c>
      <c r="D4" s="4" t="n">
        <v>60</v>
      </c>
      <c r="E4" s="4" t="n">
        <v>53</v>
      </c>
      <c r="F4" s="5" t="n">
        <f aca="false">IF(D4=0,0,E4/D4)</f>
        <v>0.883333333333333</v>
      </c>
      <c r="G4" s="4" t="s">
        <v>37</v>
      </c>
      <c r="H4" s="4" t="s">
        <v>38</v>
      </c>
      <c r="I4" s="4" t="str">
        <f aca="false">IF(D4=0,"Not set",IF(F4&gt;=0.7,"In Training",IF(F4&gt;=0.3,"Warming up","Not started")))</f>
        <v>In Training</v>
      </c>
      <c r="J4" s="4" t="s">
        <v>39</v>
      </c>
      <c r="K4" s="4" t="s">
        <v>40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27</v>
      </c>
      <c r="R4" s="4"/>
    </row>
    <row r="5" customFormat="false" ht="15" hidden="false" customHeight="false" outlineLevel="0" collapsed="false">
      <c r="A5" s="4" t="s">
        <v>41</v>
      </c>
      <c r="B5" s="4" t="s">
        <v>42</v>
      </c>
      <c r="C5" s="4" t="s">
        <v>43</v>
      </c>
      <c r="D5" s="4" t="n">
        <v>60</v>
      </c>
      <c r="E5" s="4" t="n">
        <v>53</v>
      </c>
      <c r="F5" s="5" t="n">
        <f aca="false">IF(D5=0,0,E5/D5)</f>
        <v>0.883333333333333</v>
      </c>
      <c r="G5" s="4" t="s">
        <v>44</v>
      </c>
      <c r="H5" s="4" t="s">
        <v>45</v>
      </c>
      <c r="I5" s="4" t="str">
        <f aca="false">IF(D5=0,"Not set",IF(F5&gt;=0.7,"In Training",IF(F5&gt;=0.3,"Warming up","Not started")))</f>
        <v>In Training</v>
      </c>
      <c r="J5" s="4" t="s">
        <v>46</v>
      </c>
      <c r="K5" s="4" t="s">
        <v>40</v>
      </c>
      <c r="L5" s="4" t="s">
        <v>40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27</v>
      </c>
      <c r="R5" s="4"/>
    </row>
    <row r="6" customFormat="false" ht="15" hidden="false" customHeight="false" outlineLevel="0" collapsed="false">
      <c r="A6" s="4" t="s">
        <v>47</v>
      </c>
      <c r="B6" s="4" t="s">
        <v>48</v>
      </c>
      <c r="C6" s="4" t="s">
        <v>49</v>
      </c>
      <c r="D6" s="4" t="n">
        <v>45</v>
      </c>
      <c r="E6" s="4" t="n">
        <v>42</v>
      </c>
      <c r="F6" s="5" t="n">
        <f aca="false">IF(D6=0,0,E6/D6)</f>
        <v>0.933333333333333</v>
      </c>
      <c r="G6" s="4" t="s">
        <v>23</v>
      </c>
      <c r="H6" s="4" t="s">
        <v>50</v>
      </c>
      <c r="I6" s="4" t="str">
        <f aca="false">IF(D6=0,"Not set",IF(F6&gt;=0.7,"In Training",IF(F6&gt;=0.3,"Warming up","Not started")))</f>
        <v>In Training</v>
      </c>
      <c r="J6" s="4" t="s">
        <v>51</v>
      </c>
      <c r="K6" s="4" t="s">
        <v>40</v>
      </c>
      <c r="L6" s="4" t="s">
        <v>40</v>
      </c>
      <c r="M6" s="4" t="s">
        <v>40</v>
      </c>
      <c r="N6" s="4" t="s">
        <v>40</v>
      </c>
      <c r="O6" s="4" t="s">
        <v>40</v>
      </c>
      <c r="P6" s="4" t="s">
        <v>40</v>
      </c>
      <c r="Q6" s="4" t="s">
        <v>27</v>
      </c>
      <c r="R6" s="4"/>
    </row>
    <row r="7" customFormat="false" ht="15" hidden="false" customHeight="false" outlineLevel="0" collapsed="false">
      <c r="A7" s="4" t="s">
        <v>52</v>
      </c>
      <c r="B7" s="4" t="s">
        <v>53</v>
      </c>
      <c r="C7" s="4" t="s">
        <v>54</v>
      </c>
      <c r="D7" s="4" t="n">
        <v>95</v>
      </c>
      <c r="E7" s="4" t="n">
        <v>86</v>
      </c>
      <c r="F7" s="5" t="n">
        <f aca="false">IF(D7=0,0,E7/D7)</f>
        <v>0.905263157894737</v>
      </c>
      <c r="G7" s="4" t="s">
        <v>31</v>
      </c>
      <c r="H7" s="4" t="s">
        <v>55</v>
      </c>
      <c r="I7" s="4" t="str">
        <f aca="false">IF(D7=0,"Not set",IF(F7&gt;=0.7,"In Training",IF(F7&gt;=0.3,"Warming up","Not started")))</f>
        <v>In Training</v>
      </c>
      <c r="J7" s="4" t="s">
        <v>56</v>
      </c>
      <c r="K7" s="4" t="s">
        <v>40</v>
      </c>
      <c r="L7" s="4" t="s">
        <v>40</v>
      </c>
      <c r="M7" s="4" t="s">
        <v>40</v>
      </c>
      <c r="N7" s="4" t="s">
        <v>40</v>
      </c>
      <c r="O7" s="4" t="s">
        <v>26</v>
      </c>
      <c r="P7" s="4" t="s">
        <v>26</v>
      </c>
      <c r="Q7" s="4" t="s">
        <v>27</v>
      </c>
      <c r="R7" s="4"/>
    </row>
    <row r="8" customFormat="false" ht="15" hidden="false" customHeight="false" outlineLevel="0" collapsed="false">
      <c r="A8" s="4" t="s">
        <v>57</v>
      </c>
      <c r="B8" s="4" t="s">
        <v>58</v>
      </c>
      <c r="C8" s="4" t="s">
        <v>59</v>
      </c>
      <c r="D8" s="4" t="n">
        <v>180</v>
      </c>
      <c r="E8" s="4" t="n">
        <v>98</v>
      </c>
      <c r="F8" s="5" t="n">
        <f aca="false">IF(D8=0,0,E8/D8)</f>
        <v>0.544444444444444</v>
      </c>
      <c r="G8" s="4" t="s">
        <v>37</v>
      </c>
      <c r="H8" s="4" t="s">
        <v>60</v>
      </c>
      <c r="I8" s="4" t="str">
        <f aca="false">IF(D8=0,"Not set",IF(F8&gt;=0.7,"In Training",IF(F8&gt;=0.3,"Warming up","Not started")))</f>
        <v>Warming up</v>
      </c>
      <c r="J8" s="4" t="s">
        <v>25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27</v>
      </c>
      <c r="R8" s="4"/>
    </row>
    <row r="9" customFormat="false" ht="15" hidden="false" customHeight="false" outlineLevel="0" collapsed="false">
      <c r="A9" s="4" t="s">
        <v>61</v>
      </c>
      <c r="B9" s="4" t="s">
        <v>62</v>
      </c>
      <c r="C9" s="4" t="s">
        <v>63</v>
      </c>
      <c r="D9" s="4" t="n">
        <v>95</v>
      </c>
      <c r="E9" s="4" t="n">
        <v>65</v>
      </c>
      <c r="F9" s="5" t="n">
        <f aca="false">IF(D9=0,0,E9/D9)</f>
        <v>0.68421052631579</v>
      </c>
      <c r="G9" s="4" t="s">
        <v>44</v>
      </c>
      <c r="H9" s="4" t="s">
        <v>64</v>
      </c>
      <c r="I9" s="4" t="str">
        <f aca="false">IF(D9=0,"Not set",IF(F9&gt;=0.7,"In Training",IF(F9&gt;=0.3,"Warming up","Not started")))</f>
        <v>Warming up</v>
      </c>
      <c r="J9" s="4" t="s">
        <v>33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27</v>
      </c>
      <c r="R9" s="4"/>
    </row>
    <row r="10" customFormat="false" ht="15" hidden="false" customHeight="false" outlineLevel="0" collapsed="false">
      <c r="A10" s="4" t="s">
        <v>65</v>
      </c>
      <c r="B10" s="4" t="s">
        <v>66</v>
      </c>
      <c r="C10" s="4" t="s">
        <v>67</v>
      </c>
      <c r="D10" s="4" t="n">
        <v>180</v>
      </c>
      <c r="E10" s="4" t="n">
        <v>145</v>
      </c>
      <c r="F10" s="5" t="n">
        <f aca="false">IF(D10=0,0,E10/D10)</f>
        <v>0.805555555555556</v>
      </c>
      <c r="G10" s="4" t="s">
        <v>23</v>
      </c>
      <c r="H10" s="4" t="s">
        <v>68</v>
      </c>
      <c r="I10" s="4" t="str">
        <f aca="false">IF(D10=0,"Not set",IF(F10&gt;=0.7,"In Training",IF(F10&gt;=0.3,"Warming up","Not started")))</f>
        <v>In Training</v>
      </c>
      <c r="J10" s="4" t="s">
        <v>39</v>
      </c>
      <c r="K10" s="4" t="s">
        <v>40</v>
      </c>
      <c r="L10" s="4" t="s">
        <v>26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27</v>
      </c>
      <c r="R10" s="4"/>
    </row>
    <row r="11" customFormat="false" ht="15" hidden="false" customHeight="false" outlineLevel="0" collapsed="false">
      <c r="A11" s="4" t="s">
        <v>69</v>
      </c>
      <c r="B11" s="4" t="s">
        <v>70</v>
      </c>
      <c r="C11" s="4" t="s">
        <v>71</v>
      </c>
      <c r="D11" s="4" t="n">
        <v>60</v>
      </c>
      <c r="E11" s="4" t="n">
        <v>57</v>
      </c>
      <c r="F11" s="5" t="n">
        <f aca="false">IF(D11=0,0,E11/D11)</f>
        <v>0.95</v>
      </c>
      <c r="G11" s="4" t="s">
        <v>31</v>
      </c>
      <c r="H11" s="4" t="s">
        <v>72</v>
      </c>
      <c r="I11" s="4" t="str">
        <f aca="false">IF(D11=0,"Not set",IF(F11&gt;=0.7,"In Training",IF(F11&gt;=0.3,"Warming up","Not started")))</f>
        <v>In Training</v>
      </c>
      <c r="J11" s="4" t="s">
        <v>46</v>
      </c>
      <c r="K11" s="4" t="s">
        <v>40</v>
      </c>
      <c r="L11" s="4" t="s">
        <v>40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27</v>
      </c>
      <c r="R11" s="4"/>
    </row>
    <row r="12" customFormat="false" ht="15" hidden="false" customHeight="false" outlineLevel="0" collapsed="false">
      <c r="A12" s="4" t="s">
        <v>73</v>
      </c>
      <c r="B12" s="4" t="s">
        <v>74</v>
      </c>
      <c r="C12" s="4" t="s">
        <v>75</v>
      </c>
      <c r="D12" s="4" t="n">
        <v>45</v>
      </c>
      <c r="E12" s="4" t="n">
        <v>42</v>
      </c>
      <c r="F12" s="5" t="n">
        <f aca="false">IF(D12=0,0,E12/D12)</f>
        <v>0.933333333333333</v>
      </c>
      <c r="G12" s="4" t="s">
        <v>37</v>
      </c>
      <c r="H12" s="4" t="s">
        <v>24</v>
      </c>
      <c r="I12" s="4" t="str">
        <f aca="false">IF(D12=0,"Not set",IF(F12&gt;=0.7,"In Training",IF(F12&gt;=0.3,"Warming up","Not started")))</f>
        <v>In Training</v>
      </c>
      <c r="J12" s="4" t="s">
        <v>76</v>
      </c>
      <c r="K12" s="4" t="s">
        <v>40</v>
      </c>
      <c r="L12" s="4" t="s">
        <v>40</v>
      </c>
      <c r="M12" s="4" t="s">
        <v>40</v>
      </c>
      <c r="N12" s="4" t="s">
        <v>26</v>
      </c>
      <c r="O12" s="4" t="s">
        <v>26</v>
      </c>
      <c r="P12" s="4" t="s">
        <v>26</v>
      </c>
      <c r="Q12" s="4" t="s">
        <v>27</v>
      </c>
      <c r="R12" s="4"/>
    </row>
    <row r="13" customFormat="false" ht="15" hidden="false" customHeight="false" outlineLevel="0" collapsed="false">
      <c r="A13" s="4" t="s">
        <v>77</v>
      </c>
      <c r="B13" s="4" t="s">
        <v>78</v>
      </c>
      <c r="C13" s="4" t="s">
        <v>79</v>
      </c>
      <c r="D13" s="4" t="n">
        <v>180</v>
      </c>
      <c r="E13" s="4" t="n">
        <v>163</v>
      </c>
      <c r="F13" s="5" t="n">
        <f aca="false">IF(D13=0,0,E13/D13)</f>
        <v>0.905555555555556</v>
      </c>
      <c r="G13" s="4" t="s">
        <v>44</v>
      </c>
      <c r="H13" s="4" t="s">
        <v>32</v>
      </c>
      <c r="I13" s="4" t="str">
        <f aca="false">IF(D13=0,"Not set",IF(F13&gt;=0.7,"In Training",IF(F13&gt;=0.3,"Warming up","Not started")))</f>
        <v>In Training</v>
      </c>
      <c r="J13" s="4" t="s">
        <v>56</v>
      </c>
      <c r="K13" s="4" t="s">
        <v>40</v>
      </c>
      <c r="L13" s="4" t="s">
        <v>40</v>
      </c>
      <c r="M13" s="4" t="s">
        <v>40</v>
      </c>
      <c r="N13" s="4" t="s">
        <v>40</v>
      </c>
      <c r="O13" s="4" t="s">
        <v>26</v>
      </c>
      <c r="P13" s="4" t="s">
        <v>26</v>
      </c>
      <c r="Q13" s="4" t="s">
        <v>27</v>
      </c>
      <c r="R13" s="4"/>
    </row>
    <row r="14" customFormat="false" ht="15" hidden="false" customHeight="false" outlineLevel="0" collapsed="false">
      <c r="A14" s="4" t="s">
        <v>80</v>
      </c>
      <c r="B14" s="4" t="s">
        <v>81</v>
      </c>
      <c r="C14" s="4" t="s">
        <v>82</v>
      </c>
      <c r="D14" s="4" t="n">
        <v>95</v>
      </c>
      <c r="E14" s="4" t="n">
        <v>48</v>
      </c>
      <c r="F14" s="5" t="n">
        <f aca="false">IF(D14=0,0,E14/D14)</f>
        <v>0.505263157894737</v>
      </c>
      <c r="G14" s="4" t="s">
        <v>23</v>
      </c>
      <c r="H14" s="4" t="s">
        <v>38</v>
      </c>
      <c r="I14" s="4" t="str">
        <f aca="false">IF(D14=0,"Not set",IF(F14&gt;=0.7,"In Training",IF(F14&gt;=0.3,"Warming up","Not started")))</f>
        <v>Warming up</v>
      </c>
      <c r="J14" s="4" t="s">
        <v>25</v>
      </c>
      <c r="K14" s="4" t="s">
        <v>26</v>
      </c>
      <c r="L14" s="4" t="s">
        <v>26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27</v>
      </c>
      <c r="R14" s="4"/>
    </row>
    <row r="15" customFormat="false" ht="15" hidden="false" customHeight="false" outlineLevel="0" collapsed="false">
      <c r="A15" s="4" t="s">
        <v>83</v>
      </c>
      <c r="B15" s="4" t="s">
        <v>84</v>
      </c>
      <c r="C15" s="4" t="s">
        <v>85</v>
      </c>
      <c r="D15" s="4" t="n">
        <v>80</v>
      </c>
      <c r="E15" s="4" t="n">
        <v>56</v>
      </c>
      <c r="F15" s="5" t="n">
        <f aca="false">IF(D15=0,0,E15/D15)</f>
        <v>0.7</v>
      </c>
      <c r="G15" s="4" t="s">
        <v>31</v>
      </c>
      <c r="H15" s="4" t="s">
        <v>45</v>
      </c>
      <c r="I15" s="4" t="str">
        <f aca="false">IF(D15=0,"Not set",IF(F15&gt;=0.7,"In Training",IF(F15&gt;=0.3,"Warming up","Not started")))</f>
        <v>In Training</v>
      </c>
      <c r="J15" s="4" t="s">
        <v>33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27</v>
      </c>
      <c r="R15" s="4"/>
    </row>
    <row r="16" customFormat="false" ht="15" hidden="false" customHeight="false" outlineLevel="0" collapsed="false">
      <c r="A16" s="4" t="s">
        <v>86</v>
      </c>
      <c r="B16" s="4" t="s">
        <v>87</v>
      </c>
      <c r="C16" s="4" t="s">
        <v>88</v>
      </c>
      <c r="D16" s="4" t="n">
        <v>80</v>
      </c>
      <c r="E16" s="4" t="n">
        <v>68</v>
      </c>
      <c r="F16" s="5" t="n">
        <f aca="false">IF(D16=0,0,E16/D16)</f>
        <v>0.85</v>
      </c>
      <c r="G16" s="4" t="s">
        <v>37</v>
      </c>
      <c r="H16" s="4" t="s">
        <v>50</v>
      </c>
      <c r="I16" s="4" t="str">
        <f aca="false">IF(D16=0,"Not set",IF(F16&gt;=0.7,"In Training",IF(F16&gt;=0.3,"Warming up","Not started")))</f>
        <v>In Training</v>
      </c>
      <c r="J16" s="4" t="s">
        <v>39</v>
      </c>
      <c r="K16" s="4" t="s">
        <v>40</v>
      </c>
      <c r="L16" s="4" t="s">
        <v>26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27</v>
      </c>
      <c r="R16" s="4"/>
    </row>
    <row r="17" customFormat="false" ht="15" hidden="false" customHeight="false" outlineLevel="0" collapsed="false">
      <c r="A17" s="4" t="s">
        <v>89</v>
      </c>
      <c r="B17" s="4" t="s">
        <v>90</v>
      </c>
      <c r="C17" s="4" t="s">
        <v>91</v>
      </c>
      <c r="D17" s="4" t="n">
        <v>110</v>
      </c>
      <c r="E17" s="4" t="n">
        <v>100</v>
      </c>
      <c r="F17" s="5" t="n">
        <f aca="false">IF(D17=0,0,E17/D17)</f>
        <v>0.909090909090909</v>
      </c>
      <c r="G17" s="4" t="s">
        <v>44</v>
      </c>
      <c r="H17" s="4" t="s">
        <v>55</v>
      </c>
      <c r="I17" s="4" t="str">
        <f aca="false">IF(D17=0,"Not set",IF(F17&gt;=0.7,"In Training",IF(F17&gt;=0.3,"Warming up","Not started")))</f>
        <v>In Training</v>
      </c>
      <c r="J17" s="4" t="s">
        <v>46</v>
      </c>
      <c r="K17" s="4" t="s">
        <v>40</v>
      </c>
      <c r="L17" s="4" t="s">
        <v>40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27</v>
      </c>
      <c r="R17" s="4"/>
    </row>
    <row r="18" customFormat="false" ht="15" hidden="false" customHeight="false" outlineLevel="0" collapsed="false">
      <c r="A18" s="4" t="s">
        <v>92</v>
      </c>
      <c r="B18" s="4" t="s">
        <v>93</v>
      </c>
      <c r="C18" s="4" t="s">
        <v>94</v>
      </c>
      <c r="D18" s="4" t="n">
        <v>80</v>
      </c>
      <c r="E18" s="4" t="n">
        <v>70</v>
      </c>
      <c r="F18" s="5" t="n">
        <f aca="false">IF(D18=0,0,E18/D18)</f>
        <v>0.875</v>
      </c>
      <c r="G18" s="4" t="s">
        <v>23</v>
      </c>
      <c r="H18" s="4" t="s">
        <v>60</v>
      </c>
      <c r="I18" s="4" t="str">
        <f aca="false">IF(D18=0,"Not set",IF(F18&gt;=0.7,"In Training",IF(F18&gt;=0.3,"Warming up","Not started")))</f>
        <v>In Training</v>
      </c>
      <c r="J18" s="4" t="s">
        <v>76</v>
      </c>
      <c r="K18" s="4" t="s">
        <v>40</v>
      </c>
      <c r="L18" s="4" t="s">
        <v>40</v>
      </c>
      <c r="M18" s="4" t="s">
        <v>40</v>
      </c>
      <c r="N18" s="4" t="s">
        <v>26</v>
      </c>
      <c r="O18" s="4" t="s">
        <v>26</v>
      </c>
      <c r="P18" s="4" t="s">
        <v>26</v>
      </c>
      <c r="Q18" s="4" t="s">
        <v>27</v>
      </c>
      <c r="R18" s="4"/>
    </row>
    <row r="19" customFormat="false" ht="15" hidden="false" customHeight="false" outlineLevel="0" collapsed="false">
      <c r="A19" s="4" t="s">
        <v>95</v>
      </c>
      <c r="B19" s="4" t="s">
        <v>96</v>
      </c>
      <c r="C19" s="4" t="s">
        <v>97</v>
      </c>
      <c r="D19" s="4" t="n">
        <v>95</v>
      </c>
      <c r="E19" s="4" t="n">
        <v>89</v>
      </c>
      <c r="F19" s="5" t="n">
        <f aca="false">IF(D19=0,0,E19/D19)</f>
        <v>0.936842105263158</v>
      </c>
      <c r="G19" s="4" t="s">
        <v>31</v>
      </c>
      <c r="H19" s="4" t="s">
        <v>64</v>
      </c>
      <c r="I19" s="4" t="str">
        <f aca="false">IF(D19=0,"Not set",IF(F19&gt;=0.7,"In Training",IF(F19&gt;=0.3,"Warming up","Not started")))</f>
        <v>In Training</v>
      </c>
      <c r="J19" s="4" t="s">
        <v>56</v>
      </c>
      <c r="K19" s="4" t="s">
        <v>40</v>
      </c>
      <c r="L19" s="4" t="s">
        <v>40</v>
      </c>
      <c r="M19" s="4" t="s">
        <v>40</v>
      </c>
      <c r="N19" s="4" t="s">
        <v>40</v>
      </c>
      <c r="O19" s="4" t="s">
        <v>26</v>
      </c>
      <c r="P19" s="4" t="s">
        <v>26</v>
      </c>
      <c r="Q19" s="4" t="s">
        <v>27</v>
      </c>
      <c r="R19" s="4"/>
    </row>
    <row r="20" customFormat="false" ht="15" hidden="false" customHeight="false" outlineLevel="0" collapsed="false">
      <c r="A20" s="4" t="s">
        <v>98</v>
      </c>
      <c r="B20" s="4" t="s">
        <v>99</v>
      </c>
      <c r="C20" s="4" t="s">
        <v>100</v>
      </c>
      <c r="D20" s="4" t="n">
        <v>60</v>
      </c>
      <c r="E20" s="4" t="n">
        <v>33</v>
      </c>
      <c r="F20" s="5" t="n">
        <f aca="false">IF(D20=0,0,E20/D20)</f>
        <v>0.55</v>
      </c>
      <c r="G20" s="4" t="s">
        <v>37</v>
      </c>
      <c r="H20" s="4" t="s">
        <v>68</v>
      </c>
      <c r="I20" s="4" t="str">
        <f aca="false">IF(D20=0,"Not set",IF(F20&gt;=0.7,"In Training",IF(F20&gt;=0.3,"Warming up","Not started")))</f>
        <v>Warming up</v>
      </c>
      <c r="J20" s="4" t="s">
        <v>25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27</v>
      </c>
      <c r="R20" s="4"/>
    </row>
    <row r="21" customFormat="false" ht="26.85" hidden="false" customHeight="false" outlineLevel="0" collapsed="false">
      <c r="A21" s="4" t="s">
        <v>101</v>
      </c>
      <c r="B21" s="4" t="s">
        <v>102</v>
      </c>
      <c r="C21" s="4" t="s">
        <v>103</v>
      </c>
      <c r="D21" s="4" t="n">
        <v>95</v>
      </c>
      <c r="E21" s="4" t="n">
        <v>68</v>
      </c>
      <c r="F21" s="5" t="n">
        <f aca="false">IF(D21=0,0,E21/D21)</f>
        <v>0.715789473684211</v>
      </c>
      <c r="G21" s="4" t="s">
        <v>44</v>
      </c>
      <c r="H21" s="4" t="s">
        <v>72</v>
      </c>
      <c r="I21" s="4" t="str">
        <f aca="false">IF(D21=0,"Not set",IF(F21&gt;=0.7,"In Training",IF(F21&gt;=0.3,"Warming up","Not started")))</f>
        <v>In Training</v>
      </c>
      <c r="J21" s="4" t="s">
        <v>33</v>
      </c>
      <c r="K21" s="4" t="s">
        <v>26</v>
      </c>
      <c r="L21" s="4" t="s">
        <v>26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27</v>
      </c>
      <c r="R21" s="4"/>
    </row>
    <row r="22" customFormat="false" ht="15" hidden="false" customHeight="false" outlineLevel="0" collapsed="false">
      <c r="A22" s="4" t="s">
        <v>104</v>
      </c>
      <c r="B22" s="4" t="s">
        <v>105</v>
      </c>
      <c r="C22" s="4" t="s">
        <v>106</v>
      </c>
      <c r="D22" s="4" t="n">
        <v>180</v>
      </c>
      <c r="E22" s="4" t="n">
        <v>158</v>
      </c>
      <c r="F22" s="5" t="n">
        <f aca="false">IF(D22=0,0,E22/D22)</f>
        <v>0.877777777777778</v>
      </c>
      <c r="G22" s="4" t="s">
        <v>23</v>
      </c>
      <c r="H22" s="4" t="s">
        <v>24</v>
      </c>
      <c r="I22" s="4" t="str">
        <f aca="false">IF(D22=0,"Not set",IF(F22&gt;=0.7,"In Training",IF(F22&gt;=0.3,"Warming up","Not started")))</f>
        <v>In Training</v>
      </c>
      <c r="J22" s="4" t="s">
        <v>39</v>
      </c>
      <c r="K22" s="4" t="s">
        <v>40</v>
      </c>
      <c r="L22" s="4" t="s">
        <v>26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27</v>
      </c>
      <c r="R22" s="4"/>
    </row>
    <row r="23" customFormat="false" ht="15" hidden="false" customHeight="false" outlineLevel="0" collapsed="false">
      <c r="A23" s="4" t="s">
        <v>107</v>
      </c>
      <c r="B23" s="4" t="s">
        <v>108</v>
      </c>
      <c r="C23" s="4" t="s">
        <v>109</v>
      </c>
      <c r="D23" s="4" t="n">
        <v>220</v>
      </c>
      <c r="E23" s="4" t="n">
        <v>200</v>
      </c>
      <c r="F23" s="5" t="n">
        <f aca="false">IF(D23=0,0,E23/D23)</f>
        <v>0.909090909090909</v>
      </c>
      <c r="G23" s="4" t="s">
        <v>31</v>
      </c>
      <c r="H23" s="4" t="s">
        <v>32</v>
      </c>
      <c r="I23" s="4" t="str">
        <f aca="false">IF(D23=0,"Not set",IF(F23&gt;=0.7,"In Training",IF(F23&gt;=0.3,"Warming up","Not started")))</f>
        <v>In Training</v>
      </c>
      <c r="J23" s="4" t="s">
        <v>46</v>
      </c>
      <c r="K23" s="4" t="s">
        <v>40</v>
      </c>
      <c r="L23" s="4" t="s">
        <v>40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27</v>
      </c>
      <c r="R23" s="4"/>
    </row>
    <row r="24" customFormat="false" ht="15" hidden="false" customHeight="false" outlineLevel="0" collapsed="false">
      <c r="A24" s="4" t="s">
        <v>110</v>
      </c>
      <c r="B24" s="4" t="s">
        <v>111</v>
      </c>
      <c r="C24" s="4" t="s">
        <v>112</v>
      </c>
      <c r="D24" s="4" t="n">
        <v>220</v>
      </c>
      <c r="E24" s="4" t="n">
        <v>199</v>
      </c>
      <c r="F24" s="5" t="n">
        <f aca="false">IF(D24=0,0,E24/D24)</f>
        <v>0.904545454545455</v>
      </c>
      <c r="G24" s="4" t="s">
        <v>37</v>
      </c>
      <c r="H24" s="4" t="s">
        <v>38</v>
      </c>
      <c r="I24" s="4" t="str">
        <f aca="false">IF(D24=0,"Not set",IF(F24&gt;=0.7,"In Training",IF(F24&gt;=0.3,"Warming up","Not started")))</f>
        <v>In Training</v>
      </c>
      <c r="J24" s="4" t="s">
        <v>76</v>
      </c>
      <c r="K24" s="4" t="s">
        <v>40</v>
      </c>
      <c r="L24" s="4" t="s">
        <v>40</v>
      </c>
      <c r="M24" s="4" t="s">
        <v>40</v>
      </c>
      <c r="N24" s="4" t="s">
        <v>26</v>
      </c>
      <c r="O24" s="4" t="s">
        <v>26</v>
      </c>
      <c r="P24" s="4" t="s">
        <v>26</v>
      </c>
      <c r="Q24" s="4" t="s">
        <v>27</v>
      </c>
      <c r="R24" s="4"/>
    </row>
    <row r="25" customFormat="false" ht="15" hidden="false" customHeight="false" outlineLevel="0" collapsed="false">
      <c r="A25" s="4" t="s">
        <v>113</v>
      </c>
      <c r="B25" s="4" t="s">
        <v>114</v>
      </c>
      <c r="C25" s="4" t="s">
        <v>115</v>
      </c>
      <c r="D25" s="4" t="n">
        <v>95</v>
      </c>
      <c r="E25" s="4" t="n">
        <v>93</v>
      </c>
      <c r="F25" s="5" t="n">
        <f aca="false">IF(D25=0,0,E25/D25)</f>
        <v>0.978947368421053</v>
      </c>
      <c r="G25" s="4" t="s">
        <v>44</v>
      </c>
      <c r="H25" s="4" t="s">
        <v>45</v>
      </c>
      <c r="I25" s="4" t="str">
        <f aca="false">IF(D25=0,"Not set",IF(F25&gt;=0.7,"In Training",IF(F25&gt;=0.3,"Warming up","Not started")))</f>
        <v>In Training</v>
      </c>
      <c r="J25" s="4" t="s">
        <v>56</v>
      </c>
      <c r="K25" s="4" t="s">
        <v>40</v>
      </c>
      <c r="L25" s="4" t="s">
        <v>40</v>
      </c>
      <c r="M25" s="4" t="s">
        <v>40</v>
      </c>
      <c r="N25" s="4" t="s">
        <v>40</v>
      </c>
      <c r="O25" s="4" t="s">
        <v>26</v>
      </c>
      <c r="P25" s="4" t="s">
        <v>26</v>
      </c>
      <c r="Q25" s="4" t="s">
        <v>27</v>
      </c>
      <c r="R25" s="4"/>
    </row>
    <row r="26" customFormat="false" ht="15" hidden="false" customHeight="false" outlineLevel="0" collapsed="false">
      <c r="A26" s="4" t="s">
        <v>116</v>
      </c>
      <c r="B26" s="4" t="s">
        <v>117</v>
      </c>
      <c r="C26" s="4" t="s">
        <v>118</v>
      </c>
      <c r="D26" s="4" t="n">
        <v>95</v>
      </c>
      <c r="E26" s="4" t="n">
        <v>48</v>
      </c>
      <c r="F26" s="5" t="n">
        <f aca="false">IF(D26=0,0,E26/D26)</f>
        <v>0.505263157894737</v>
      </c>
      <c r="G26" s="4" t="s">
        <v>23</v>
      </c>
      <c r="H26" s="4" t="s">
        <v>50</v>
      </c>
      <c r="I26" s="4" t="str">
        <f aca="false">IF(D26=0,"Not set",IF(F26&gt;=0.7,"In Training",IF(F26&gt;=0.3,"Warming up","Not started")))</f>
        <v>Warming up</v>
      </c>
      <c r="J26" s="4" t="s">
        <v>25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27</v>
      </c>
      <c r="R26" s="4"/>
    </row>
    <row r="27" customFormat="false" ht="15" hidden="false" customHeight="false" outlineLevel="0" collapsed="false">
      <c r="A27" s="4" t="s">
        <v>119</v>
      </c>
      <c r="B27" s="4" t="s">
        <v>120</v>
      </c>
      <c r="C27" s="4" t="s">
        <v>121</v>
      </c>
      <c r="D27" s="4" t="n">
        <v>110</v>
      </c>
      <c r="E27" s="4" t="n">
        <v>79</v>
      </c>
      <c r="F27" s="5" t="n">
        <f aca="false">IF(D27=0,0,E27/D27)</f>
        <v>0.718181818181818</v>
      </c>
      <c r="G27" s="4" t="s">
        <v>31</v>
      </c>
      <c r="H27" s="4" t="s">
        <v>55</v>
      </c>
      <c r="I27" s="4" t="str">
        <f aca="false">IF(D27=0,"Not set",IF(F27&gt;=0.7,"In Training",IF(F27&gt;=0.3,"Warming up","Not started")))</f>
        <v>In Training</v>
      </c>
      <c r="J27" s="4" t="s">
        <v>33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27</v>
      </c>
      <c r="R27" s="4"/>
    </row>
    <row r="28" customFormat="false" ht="15" hidden="false" customHeight="false" outlineLevel="0" collapsed="false">
      <c r="A28" s="4" t="s">
        <v>122</v>
      </c>
      <c r="B28" s="4" t="s">
        <v>123</v>
      </c>
      <c r="C28" s="4" t="s">
        <v>124</v>
      </c>
      <c r="D28" s="4" t="n">
        <v>140</v>
      </c>
      <c r="E28" s="4" t="n">
        <v>122</v>
      </c>
      <c r="F28" s="5" t="n">
        <f aca="false">IF(D28=0,0,E28/D28)</f>
        <v>0.871428571428571</v>
      </c>
      <c r="G28" s="4" t="s">
        <v>37</v>
      </c>
      <c r="H28" s="4" t="s">
        <v>60</v>
      </c>
      <c r="I28" s="4" t="str">
        <f aca="false">IF(D28=0,"Not set",IF(F28&gt;=0.7,"In Training",IF(F28&gt;=0.3,"Warming up","Not started")))</f>
        <v>In Training</v>
      </c>
      <c r="J28" s="4" t="s">
        <v>39</v>
      </c>
      <c r="K28" s="4" t="s">
        <v>40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27</v>
      </c>
      <c r="R28" s="4"/>
    </row>
    <row r="29" customFormat="false" ht="15" hidden="false" customHeight="false" outlineLevel="0" collapsed="false">
      <c r="A29" s="4" t="s">
        <v>125</v>
      </c>
      <c r="B29" s="4" t="s">
        <v>126</v>
      </c>
      <c r="C29" s="4" t="s">
        <v>127</v>
      </c>
      <c r="D29" s="4" t="n">
        <v>110</v>
      </c>
      <c r="E29" s="4" t="n">
        <v>100</v>
      </c>
      <c r="F29" s="5" t="n">
        <f aca="false">IF(D29=0,0,E29/D29)</f>
        <v>0.909090909090909</v>
      </c>
      <c r="G29" s="4" t="s">
        <v>44</v>
      </c>
      <c r="H29" s="4" t="s">
        <v>64</v>
      </c>
      <c r="I29" s="4" t="str">
        <f aca="false">IF(D29=0,"Not set",IF(F29&gt;=0.7,"In Training",IF(F29&gt;=0.3,"Warming up","Not started")))</f>
        <v>In Training</v>
      </c>
      <c r="J29" s="4" t="s">
        <v>46</v>
      </c>
      <c r="K29" s="4" t="s">
        <v>40</v>
      </c>
      <c r="L29" s="4" t="s">
        <v>40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27</v>
      </c>
      <c r="R29" s="4"/>
    </row>
    <row r="30" customFormat="false" ht="15" hidden="false" customHeight="false" outlineLevel="0" collapsed="false">
      <c r="A30" s="4" t="s">
        <v>128</v>
      </c>
      <c r="B30" s="4" t="s">
        <v>129</v>
      </c>
      <c r="C30" s="4" t="s">
        <v>130</v>
      </c>
      <c r="D30" s="4" t="n">
        <v>60</v>
      </c>
      <c r="E30" s="4" t="n">
        <v>53</v>
      </c>
      <c r="F30" s="5" t="n">
        <f aca="false">IF(D30=0,0,E30/D30)</f>
        <v>0.883333333333333</v>
      </c>
      <c r="G30" s="4" t="s">
        <v>23</v>
      </c>
      <c r="H30" s="4" t="s">
        <v>68</v>
      </c>
      <c r="I30" s="4" t="str">
        <f aca="false">IF(D30=0,"Not set",IF(F30&gt;=0.7,"In Training",IF(F30&gt;=0.3,"Warming up","Not started")))</f>
        <v>In Training</v>
      </c>
      <c r="J30" s="4" t="s">
        <v>76</v>
      </c>
      <c r="K30" s="4" t="s">
        <v>40</v>
      </c>
      <c r="L30" s="4" t="s">
        <v>40</v>
      </c>
      <c r="M30" s="4" t="s">
        <v>40</v>
      </c>
      <c r="N30" s="4" t="s">
        <v>26</v>
      </c>
      <c r="O30" s="4" t="s">
        <v>26</v>
      </c>
      <c r="P30" s="4" t="s">
        <v>26</v>
      </c>
      <c r="Q30" s="4" t="s">
        <v>27</v>
      </c>
      <c r="R30" s="4"/>
    </row>
    <row r="31" customFormat="false" ht="15" hidden="false" customHeight="false" outlineLevel="0" collapsed="false">
      <c r="A31" s="4" t="s">
        <v>131</v>
      </c>
      <c r="B31" s="4" t="s">
        <v>132</v>
      </c>
      <c r="C31" s="4" t="s">
        <v>133</v>
      </c>
      <c r="D31" s="4" t="n">
        <v>180</v>
      </c>
      <c r="E31" s="4" t="n">
        <v>165</v>
      </c>
      <c r="F31" s="5" t="n">
        <f aca="false">IF(D31=0,0,E31/D31)</f>
        <v>0.916666666666667</v>
      </c>
      <c r="G31" s="4" t="s">
        <v>31</v>
      </c>
      <c r="H31" s="4" t="s">
        <v>72</v>
      </c>
      <c r="I31" s="4" t="str">
        <f aca="false">IF(D31=0,"Not set",IF(F31&gt;=0.7,"In Training",IF(F31&gt;=0.3,"Warming up","Not started")))</f>
        <v>In Training</v>
      </c>
      <c r="J31" s="4" t="s">
        <v>56</v>
      </c>
      <c r="K31" s="4" t="s">
        <v>40</v>
      </c>
      <c r="L31" s="4" t="s">
        <v>40</v>
      </c>
      <c r="M31" s="4" t="s">
        <v>40</v>
      </c>
      <c r="N31" s="4" t="s">
        <v>40</v>
      </c>
      <c r="O31" s="4" t="s">
        <v>26</v>
      </c>
      <c r="P31" s="4" t="s">
        <v>26</v>
      </c>
      <c r="Q31" s="4" t="s">
        <v>27</v>
      </c>
      <c r="R31" s="4"/>
    </row>
    <row r="32" customFormat="false" ht="15" hidden="false" customHeight="false" outlineLevel="0" collapsed="false">
      <c r="A32" s="4" t="s">
        <v>134</v>
      </c>
      <c r="B32" s="4" t="s">
        <v>135</v>
      </c>
      <c r="C32" s="4" t="s">
        <v>136</v>
      </c>
      <c r="D32" s="4" t="n">
        <v>140</v>
      </c>
      <c r="E32" s="4" t="n">
        <v>72</v>
      </c>
      <c r="F32" s="5" t="n">
        <f aca="false">IF(D32=0,0,E32/D32)</f>
        <v>0.514285714285714</v>
      </c>
      <c r="G32" s="4" t="s">
        <v>37</v>
      </c>
      <c r="H32" s="4" t="s">
        <v>24</v>
      </c>
      <c r="I32" s="4" t="str">
        <f aca="false">IF(D32=0,"Not set",IF(F32&gt;=0.7,"In Training",IF(F32&gt;=0.3,"Warming up","Not started")))</f>
        <v>Warming up</v>
      </c>
      <c r="J32" s="4" t="s">
        <v>25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27</v>
      </c>
      <c r="R32" s="4"/>
    </row>
    <row r="33" customFormat="false" ht="15" hidden="false" customHeight="false" outlineLevel="0" collapsed="false">
      <c r="A33" s="4" t="s">
        <v>137</v>
      </c>
      <c r="B33" s="4" t="s">
        <v>138</v>
      </c>
      <c r="C33" s="4" t="s">
        <v>139</v>
      </c>
      <c r="D33" s="4" t="n">
        <v>220</v>
      </c>
      <c r="E33" s="4" t="n">
        <v>157</v>
      </c>
      <c r="F33" s="5" t="n">
        <f aca="false">IF(D33=0,0,E33/D33)</f>
        <v>0.713636363636364</v>
      </c>
      <c r="G33" s="4" t="s">
        <v>44</v>
      </c>
      <c r="H33" s="4" t="s">
        <v>32</v>
      </c>
      <c r="I33" s="4" t="str">
        <f aca="false">IF(D33=0,"Not set",IF(F33&gt;=0.7,"In Training",IF(F33&gt;=0.3,"Warming up","Not started")))</f>
        <v>In Training</v>
      </c>
      <c r="J33" s="4" t="s">
        <v>33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27</v>
      </c>
      <c r="R33" s="4"/>
    </row>
    <row r="34" customFormat="false" ht="15" hidden="false" customHeight="false" outlineLevel="0" collapsed="false">
      <c r="A34" s="4" t="s">
        <v>140</v>
      </c>
      <c r="B34" s="4" t="s">
        <v>141</v>
      </c>
      <c r="C34" s="4" t="s">
        <v>142</v>
      </c>
      <c r="D34" s="4" t="n">
        <v>60</v>
      </c>
      <c r="E34" s="4" t="n">
        <v>53</v>
      </c>
      <c r="F34" s="5" t="n">
        <f aca="false">IF(D34=0,0,E34/D34)</f>
        <v>0.883333333333333</v>
      </c>
      <c r="G34" s="4" t="s">
        <v>23</v>
      </c>
      <c r="H34" s="4" t="s">
        <v>38</v>
      </c>
      <c r="I34" s="4" t="str">
        <f aca="false">IF(D34=0,"Not set",IF(F34&gt;=0.7,"In Training",IF(F34&gt;=0.3,"Warming up","Not started")))</f>
        <v>In Training</v>
      </c>
      <c r="J34" s="4" t="s">
        <v>39</v>
      </c>
      <c r="K34" s="4" t="s">
        <v>40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27</v>
      </c>
      <c r="R34" s="4"/>
    </row>
    <row r="35" customFormat="false" ht="15" hidden="false" customHeight="false" outlineLevel="0" collapsed="false">
      <c r="A35" s="4" t="s">
        <v>143</v>
      </c>
      <c r="B35" s="4" t="s">
        <v>144</v>
      </c>
      <c r="C35" s="4" t="s">
        <v>145</v>
      </c>
      <c r="D35" s="4" t="n">
        <v>140</v>
      </c>
      <c r="E35" s="4" t="n">
        <v>124</v>
      </c>
      <c r="F35" s="5" t="n">
        <f aca="false">IF(D35=0,0,E35/D35)</f>
        <v>0.885714285714286</v>
      </c>
      <c r="G35" s="4" t="s">
        <v>31</v>
      </c>
      <c r="H35" s="4" t="s">
        <v>45</v>
      </c>
      <c r="I35" s="4" t="str">
        <f aca="false">IF(D35=0,"Not set",IF(F35&gt;=0.7,"In Training",IF(F35&gt;=0.3,"Warming up","Not started")))</f>
        <v>In Training</v>
      </c>
      <c r="J35" s="4" t="s">
        <v>46</v>
      </c>
      <c r="K35" s="4" t="s">
        <v>40</v>
      </c>
      <c r="L35" s="4" t="s">
        <v>40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27</v>
      </c>
      <c r="R35" s="4"/>
    </row>
  </sheetData>
  <dataValidations count="8">
    <dataValidation allowBlank="true" errorStyle="stop" operator="between" showDropDown="false" showErrorMessage="false" showInputMessage="false" sqref="J2:J35" type="list">
      <formula1>"Not Started,Warm-up Exercise,Training,Reflect,Implement Change,Reflect Again,Training - Tempo,Race up your PACE,Finish Line"</formula1>
      <formula2>0</formula2>
    </dataValidation>
    <dataValidation allowBlank="true" errorStyle="stop" operator="between" showDropDown="false" showErrorMessage="false" showInputMessage="false" sqref="G2:G35" type="list">
      <formula1>"Sprinter,Middle-Dist.,Marathoner,Relay Runner"</formula1>
      <formula2>0</formula2>
    </dataValidation>
    <dataValidation allowBlank="true" errorStyle="stop" operator="between" showDropDown="false" showErrorMessage="false" showInputMessage="false" sqref="K2:K35" type="list">
      <formula1>"Yes,No"</formula1>
      <formula2>0</formula2>
    </dataValidation>
    <dataValidation allowBlank="true" errorStyle="stop" operator="between" showDropDown="false" showErrorMessage="false" showInputMessage="false" sqref="L2:L35" type="list">
      <formula1>"Yes,No"</formula1>
      <formula2>0</formula2>
    </dataValidation>
    <dataValidation allowBlank="true" errorStyle="stop" operator="between" showDropDown="false" showErrorMessage="false" showInputMessage="false" sqref="M2:M35" type="list">
      <formula1>"Yes,No"</formula1>
      <formula2>0</formula2>
    </dataValidation>
    <dataValidation allowBlank="true" errorStyle="stop" operator="between" showDropDown="false" showErrorMessage="false" showInputMessage="false" sqref="N2:N35" type="list">
      <formula1>"Yes,No"</formula1>
      <formula2>0</formula2>
    </dataValidation>
    <dataValidation allowBlank="true" errorStyle="stop" operator="between" showDropDown="false" showErrorMessage="false" showInputMessage="false" sqref="O2:O35" type="list">
      <formula1>"Yes,No"</formula1>
      <formula2>0</formula2>
    </dataValidation>
    <dataValidation allowBlank="true" errorStyle="stop" operator="between" showDropDown="false" showErrorMessage="false" showInputMessage="false" sqref="P2:P3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5" min="4" style="0" width="40"/>
  </cols>
  <sheetData>
    <row r="1" customFormat="false" ht="15" hidden="false" customHeight="false" outlineLevel="0" collapsed="false">
      <c r="A1" s="3" t="s">
        <v>146</v>
      </c>
      <c r="B1" s="3" t="s">
        <v>147</v>
      </c>
      <c r="C1" s="3" t="s">
        <v>148</v>
      </c>
      <c r="D1" s="3" t="s">
        <v>149</v>
      </c>
      <c r="E1" s="3" t="s">
        <v>150</v>
      </c>
    </row>
    <row r="2" customFormat="false" ht="15" hidden="false" customHeight="false" outlineLevel="0" collapsed="false">
      <c r="A2" s="4" t="s">
        <v>27</v>
      </c>
      <c r="B2" s="4" t="s">
        <v>151</v>
      </c>
      <c r="C2" s="4" t="s">
        <v>152</v>
      </c>
      <c r="D2" s="4" t="s">
        <v>153</v>
      </c>
      <c r="E2" s="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A2" s="0" t="s">
        <v>155</v>
      </c>
      <c r="B2" s="0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2026-08-03T09:00:39Z</dcterms:created>
  <dc:creator>openpyxl</dc:creator>
  <dc:description/>
  <dc:language>en-US</dc:language>
  <cp:lastModifiedBy/>
  <dcterms:modified xsi:type="dcterms:W3CDTF">2026-08-03T09:00:39Z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